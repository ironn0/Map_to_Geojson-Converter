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cac\Desktop\Map_to_Geojson-Converter\docs\feasibility\"/>
    </mc:Choice>
  </mc:AlternateContent>
  <xr:revisionPtr revIDLastSave="0" documentId="13_ncr:1_{92FF8E1F-94EC-44D1-BA11-09B2218AA1B5}" xr6:coauthVersionLast="47" xr6:coauthVersionMax="47" xr10:uidLastSave="{00000000-0000-0000-0000-000000000000}"/>
  <bookViews>
    <workbookView xWindow="-110" yWindow="-110" windowWidth="25820" windowHeight="15500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25" i="1" l="1"/>
  <c r="AT25" i="1"/>
  <c r="AU25" i="1"/>
  <c r="AS26" i="1"/>
  <c r="AT26" i="1"/>
  <c r="AU26" i="1"/>
  <c r="AS27" i="1"/>
  <c r="AT27" i="1"/>
  <c r="AU27" i="1"/>
  <c r="AS28" i="1"/>
  <c r="AT28" i="1"/>
  <c r="AU28" i="1"/>
  <c r="AS8" i="1"/>
  <c r="AT8" i="1"/>
  <c r="AU8" i="1"/>
  <c r="I8" i="1"/>
  <c r="AS12" i="1"/>
  <c r="AT12" i="1"/>
  <c r="AU12" i="1"/>
  <c r="AS9" i="1"/>
  <c r="AT9" i="1"/>
  <c r="AU9" i="1"/>
  <c r="AS10" i="1"/>
  <c r="AT10" i="1"/>
  <c r="AU10" i="1"/>
  <c r="AS11" i="1"/>
  <c r="AT11" i="1"/>
  <c r="AU11" i="1"/>
  <c r="AS13" i="1"/>
  <c r="AT13" i="1"/>
  <c r="AU13" i="1"/>
  <c r="AS14" i="1"/>
  <c r="AT14" i="1"/>
  <c r="AU14" i="1"/>
  <c r="AS15" i="1"/>
  <c r="AT15" i="1"/>
  <c r="AU15" i="1"/>
  <c r="AS16" i="1"/>
  <c r="AT16" i="1"/>
  <c r="AU16" i="1"/>
  <c r="AS17" i="1"/>
  <c r="AT17" i="1"/>
  <c r="AU17" i="1"/>
  <c r="AS18" i="1"/>
  <c r="AT18" i="1"/>
  <c r="AU18" i="1"/>
  <c r="AS19" i="1"/>
  <c r="AT19" i="1"/>
  <c r="AU19" i="1"/>
  <c r="AS20" i="1"/>
  <c r="AT20" i="1"/>
  <c r="AU20" i="1"/>
  <c r="AS21" i="1"/>
  <c r="AT21" i="1"/>
  <c r="AU21" i="1"/>
  <c r="AS22" i="1"/>
  <c r="AT22" i="1"/>
  <c r="AU22" i="1"/>
  <c r="AS23" i="1"/>
  <c r="AT23" i="1"/>
  <c r="AU23" i="1"/>
  <c r="AS24" i="1"/>
  <c r="AT24" i="1"/>
  <c r="AU24" i="1"/>
  <c r="AU32" i="1"/>
  <c r="AT32" i="1"/>
  <c r="AS32" i="1"/>
  <c r="AD3" i="1"/>
  <c r="M3" i="1"/>
  <c r="AQ3" i="1"/>
  <c r="AM3" i="1"/>
  <c r="AI3" i="1"/>
  <c r="Z3" i="1"/>
  <c r="V3" i="1"/>
  <c r="Q3" i="1"/>
  <c r="I3" i="1"/>
</calcChain>
</file>

<file path=xl/sharedStrings.xml><?xml version="1.0" encoding="utf-8"?>
<sst xmlns="http://schemas.openxmlformats.org/spreadsheetml/2006/main" count="64" uniqueCount="53">
  <si>
    <t>Project Start: 6 October 2025</t>
  </si>
  <si>
    <t>Month</t>
  </si>
  <si>
    <t>Week</t>
  </si>
  <si>
    <t xml:space="preserve"> </t>
  </si>
  <si>
    <t>Days</t>
  </si>
  <si>
    <t>Weeks #</t>
  </si>
  <si>
    <t>Hours #</t>
  </si>
  <si>
    <t>Cost €</t>
  </si>
  <si>
    <t>TASK</t>
  </si>
  <si>
    <t>ASSIGNED</t>
  </si>
  <si>
    <t>%</t>
  </si>
  <si>
    <t xml:space="preserve">START </t>
  </si>
  <si>
    <t>END</t>
  </si>
  <si>
    <t>F,M,L</t>
  </si>
  <si>
    <t>M,L</t>
  </si>
  <si>
    <t>F</t>
  </si>
  <si>
    <t>F,L</t>
  </si>
  <si>
    <t>M</t>
  </si>
  <si>
    <t xml:space="preserve">Marketing </t>
  </si>
  <si>
    <t>L</t>
  </si>
  <si>
    <t>Fabio Ferro</t>
  </si>
  <si>
    <t>Luca Cortinovis</t>
  </si>
  <si>
    <t>Marrocu Mattia</t>
  </si>
  <si>
    <t>Marco Canali</t>
  </si>
  <si>
    <t>Hours x Week:</t>
  </si>
  <si>
    <t>h</t>
  </si>
  <si>
    <t>Costo Risorse Interne:</t>
  </si>
  <si>
    <t>€/h</t>
  </si>
  <si>
    <t>Costo Risorse Esterne:</t>
  </si>
  <si>
    <t>Gantt v3.0.0</t>
  </si>
  <si>
    <t>Map to .geojson converter</t>
  </si>
  <si>
    <t>Collaborators</t>
  </si>
  <si>
    <t>Research &amp; Prototyping</t>
  </si>
  <si>
    <t>Feasibility Study</t>
  </si>
  <si>
    <t>Gantt Prototype</t>
  </si>
  <si>
    <t>SVG &amp; GeoJSON study</t>
  </si>
  <si>
    <t>Dataset Study</t>
  </si>
  <si>
    <t>SVG to GeoJSON protype</t>
  </si>
  <si>
    <t>Dataset Research</t>
  </si>
  <si>
    <t>Computer Vision Development</t>
  </si>
  <si>
    <t>Libraries Research</t>
  </si>
  <si>
    <t>Initial Implementation</t>
  </si>
  <si>
    <t>More Features</t>
  </si>
  <si>
    <t>UI Development</t>
  </si>
  <si>
    <t>Figma design</t>
  </si>
  <si>
    <t>Front-end implementation</t>
  </si>
  <si>
    <t>Testing &amp; Release</t>
  </si>
  <si>
    <t>Testing</t>
  </si>
  <si>
    <t>Testing + UI</t>
  </si>
  <si>
    <t>Beta release and user testing</t>
  </si>
  <si>
    <t>Brand study</t>
  </si>
  <si>
    <t>Market entry planning</t>
  </si>
  <si>
    <t>Marketing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</si>
</sst>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fill>
        <patternFill>
          <bgColor rgb="FF6666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C2:AU41"/>
  <sheetViews>
    <sheetView showGridLines="0" tabSelected="1" topLeftCell="B1" zoomScale="112" zoomScaleNormal="115" workbookViewId="0">
      <pane ySplit="6" topLeftCell="A7" activePane="bottomLeft" state="frozen"/>
      <selection activeCell="E12" sqref="E12"/>
      <selection pane="bottomLeft" activeCell="J18" sqref="J18"/>
    </sheetView>
  </sheetViews>
  <sheetFormatPr defaultRowHeight="14.5" x14ac:dyDescent="0.35"/>
  <cols>
    <col min="1" max="1" width="2.26953125" customWidth="1"/>
    <col min="2" max="2" width="6" customWidth="1"/>
    <col min="3" max="3" width="23" customWidth="1"/>
    <col min="4" max="4" width="13.08984375" customWidth="1"/>
    <col min="5" max="5" width="9.36328125" customWidth="1"/>
    <col min="6" max="6" width="10.26953125" customWidth="1"/>
    <col min="7" max="7" width="10.6328125" customWidth="1"/>
    <col min="9" max="9" width="5.6328125" style="1" customWidth="1"/>
    <col min="10" max="43" width="6.7265625" style="1" customWidth="1"/>
    <col min="45" max="49" width="13.7265625" customWidth="1"/>
  </cols>
  <sheetData>
    <row r="2" spans="3:47" ht="27" customHeight="1" x14ac:dyDescent="0.35">
      <c r="C2" s="59" t="s">
        <v>30</v>
      </c>
      <c r="D2" s="59"/>
      <c r="E2" s="3"/>
    </row>
    <row r="3" spans="3:47" x14ac:dyDescent="0.35">
      <c r="C3" s="62" t="s">
        <v>0</v>
      </c>
      <c r="D3" s="62"/>
      <c r="H3" s="15" t="s">
        <v>1</v>
      </c>
      <c r="I3" s="58" t="str">
        <f>TEXT(I5,"MMM")</f>
        <v>ott</v>
      </c>
      <c r="J3" s="58"/>
      <c r="K3" s="58"/>
      <c r="L3" s="58"/>
      <c r="M3" s="58" t="str">
        <f>TEXT(M5,"MMM")</f>
        <v>nov</v>
      </c>
      <c r="N3" s="58"/>
      <c r="O3" s="58"/>
      <c r="P3" s="58"/>
      <c r="Q3" s="58" t="str">
        <f>TEXT(Q5,"MMM")</f>
        <v>dic</v>
      </c>
      <c r="R3" s="58"/>
      <c r="S3" s="58"/>
      <c r="T3" s="58"/>
      <c r="U3" s="7"/>
      <c r="V3" s="58" t="str">
        <f>TEXT(V5,"MMM")</f>
        <v>gen</v>
      </c>
      <c r="W3" s="58"/>
      <c r="X3" s="58"/>
      <c r="Y3" s="58"/>
      <c r="Z3" s="58" t="str">
        <f>TEXT(Z5,"MMM")</f>
        <v>feb</v>
      </c>
      <c r="AA3" s="58"/>
      <c r="AB3" s="58"/>
      <c r="AC3" s="58"/>
      <c r="AD3" s="58" t="str">
        <f>TEXT(AD5,"MMM")</f>
        <v>mar</v>
      </c>
      <c r="AE3" s="58"/>
      <c r="AF3" s="58"/>
      <c r="AG3" s="58"/>
      <c r="AH3" s="7"/>
      <c r="AI3" s="58" t="str">
        <f>TEXT(AI5,"MMM")</f>
        <v>apr</v>
      </c>
      <c r="AJ3" s="58"/>
      <c r="AK3" s="58"/>
      <c r="AL3" s="58"/>
      <c r="AM3" s="58" t="str">
        <f>TEXT(AM5,"MMM")</f>
        <v>mag</v>
      </c>
      <c r="AN3" s="58"/>
      <c r="AO3" s="58"/>
      <c r="AP3" s="58"/>
      <c r="AQ3" s="6" t="str">
        <f>TEXT(AQ5,"MMM")</f>
        <v>giu</v>
      </c>
    </row>
    <row r="4" spans="3:47" x14ac:dyDescent="0.35">
      <c r="C4" t="s">
        <v>29</v>
      </c>
      <c r="H4" s="16" t="s">
        <v>2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3:47" x14ac:dyDescent="0.35">
      <c r="F5" t="s">
        <v>3</v>
      </c>
      <c r="H5" s="17" t="s">
        <v>4</v>
      </c>
      <c r="I5" s="11">
        <v>45936</v>
      </c>
      <c r="J5" s="12">
        <v>45943</v>
      </c>
      <c r="K5" s="13">
        <v>45950</v>
      </c>
      <c r="L5" s="14">
        <v>45957</v>
      </c>
      <c r="M5" s="11">
        <v>45964</v>
      </c>
      <c r="N5" s="12">
        <v>45971</v>
      </c>
      <c r="O5" s="13">
        <v>45978</v>
      </c>
      <c r="P5" s="14">
        <v>45985</v>
      </c>
      <c r="Q5" s="11">
        <v>45992</v>
      </c>
      <c r="R5" s="12">
        <v>45999</v>
      </c>
      <c r="S5" s="13">
        <v>46006</v>
      </c>
      <c r="T5" s="18">
        <v>46013</v>
      </c>
      <c r="U5" s="19">
        <v>46020</v>
      </c>
      <c r="V5" s="11">
        <v>46027</v>
      </c>
      <c r="W5" s="12">
        <v>46034</v>
      </c>
      <c r="X5" s="13">
        <v>46041</v>
      </c>
      <c r="Y5" s="14">
        <v>46048</v>
      </c>
      <c r="Z5" s="11">
        <v>46055</v>
      </c>
      <c r="AA5" s="12">
        <v>46062</v>
      </c>
      <c r="AB5" s="13">
        <v>46069</v>
      </c>
      <c r="AC5" s="14">
        <v>46076</v>
      </c>
      <c r="AD5" s="11">
        <v>46083</v>
      </c>
      <c r="AE5" s="12">
        <v>46090</v>
      </c>
      <c r="AF5" s="13">
        <v>46097</v>
      </c>
      <c r="AG5" s="18">
        <v>46104</v>
      </c>
      <c r="AH5" s="19">
        <v>46111</v>
      </c>
      <c r="AI5" s="11">
        <v>46118</v>
      </c>
      <c r="AJ5" s="12">
        <v>46125</v>
      </c>
      <c r="AK5" s="13">
        <v>46132</v>
      </c>
      <c r="AL5" s="14">
        <v>46139</v>
      </c>
      <c r="AM5" s="11">
        <v>46146</v>
      </c>
      <c r="AN5" s="12">
        <v>46153</v>
      </c>
      <c r="AO5" s="13">
        <v>46160</v>
      </c>
      <c r="AP5" s="14">
        <v>46167</v>
      </c>
      <c r="AQ5" s="20">
        <v>46174</v>
      </c>
      <c r="AS5" s="49" t="s">
        <v>5</v>
      </c>
      <c r="AT5" s="53" t="s">
        <v>6</v>
      </c>
      <c r="AU5" s="50" t="s">
        <v>7</v>
      </c>
    </row>
    <row r="6" spans="3:47" ht="21" customHeight="1" x14ac:dyDescent="0.35">
      <c r="C6" s="36" t="s">
        <v>8</v>
      </c>
      <c r="D6" s="36" t="s">
        <v>9</v>
      </c>
      <c r="E6" s="36" t="s">
        <v>10</v>
      </c>
      <c r="F6" s="37" t="s">
        <v>11</v>
      </c>
      <c r="G6" s="37" t="s">
        <v>12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54"/>
      <c r="AU6" s="56"/>
    </row>
    <row r="7" spans="3:47" ht="25.25" customHeight="1" x14ac:dyDescent="0.35">
      <c r="C7" s="34" t="s">
        <v>32</v>
      </c>
      <c r="D7" s="34"/>
      <c r="E7" s="28"/>
      <c r="F7" s="29"/>
      <c r="G7" s="29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  <c r="AS7" s="8"/>
      <c r="AT7" s="54"/>
      <c r="AU7" s="56"/>
    </row>
    <row r="8" spans="3:47" ht="21" customHeight="1" x14ac:dyDescent="0.35">
      <c r="C8" s="33" t="s">
        <v>33</v>
      </c>
      <c r="D8" s="33" t="s">
        <v>13</v>
      </c>
      <c r="E8" s="27">
        <v>1</v>
      </c>
      <c r="F8" s="30">
        <v>45936</v>
      </c>
      <c r="G8" s="30">
        <v>45955</v>
      </c>
      <c r="H8" s="25"/>
      <c r="I8" s="25">
        <f>1*AND(I$5&gt;=task_start,I$5&lt;=task_start+(task_progress*(task_end-task_start+1))-1)</f>
        <v>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3"/>
      <c r="AS8" s="8">
        <f>INT((G8-F8)/7)</f>
        <v>2</v>
      </c>
      <c r="AT8" s="54">
        <f t="shared" ref="AT8:AT28" si="0">AS8*$D$38</f>
        <v>6</v>
      </c>
      <c r="AU8" s="56">
        <f t="shared" ref="AU8:AU28" si="1">AT8*$D$39</f>
        <v>90</v>
      </c>
    </row>
    <row r="9" spans="3:47" ht="21" customHeight="1" x14ac:dyDescent="0.35">
      <c r="C9" s="33" t="s">
        <v>34</v>
      </c>
      <c r="D9" s="33" t="s">
        <v>14</v>
      </c>
      <c r="E9" s="27">
        <v>1</v>
      </c>
      <c r="F9" s="30">
        <v>45948</v>
      </c>
      <c r="G9" s="30">
        <v>45955</v>
      </c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3"/>
      <c r="AS9" s="8">
        <f t="shared" ref="AS9:AS24" si="2">INT((G9-F9)/7)</f>
        <v>1</v>
      </c>
      <c r="AT9" s="54">
        <f t="shared" si="0"/>
        <v>3</v>
      </c>
      <c r="AU9" s="56">
        <f t="shared" si="1"/>
        <v>45</v>
      </c>
    </row>
    <row r="10" spans="3:47" ht="21" customHeight="1" x14ac:dyDescent="0.35">
      <c r="C10" s="33" t="s">
        <v>35</v>
      </c>
      <c r="D10" s="33" t="s">
        <v>15</v>
      </c>
      <c r="E10" s="27">
        <v>1</v>
      </c>
      <c r="F10" s="30">
        <v>45955</v>
      </c>
      <c r="G10" s="30">
        <v>45976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3"/>
      <c r="AS10" s="8">
        <f t="shared" si="2"/>
        <v>3</v>
      </c>
      <c r="AT10" s="54">
        <f t="shared" si="0"/>
        <v>9</v>
      </c>
      <c r="AU10" s="56">
        <f t="shared" si="1"/>
        <v>135</v>
      </c>
    </row>
    <row r="11" spans="3:47" ht="21" customHeight="1" x14ac:dyDescent="0.35">
      <c r="C11" s="33" t="s">
        <v>36</v>
      </c>
      <c r="D11" s="33" t="s">
        <v>16</v>
      </c>
      <c r="E11" s="27">
        <v>1</v>
      </c>
      <c r="F11" s="30">
        <v>45969</v>
      </c>
      <c r="G11" s="30">
        <v>45976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3"/>
      <c r="AS11" s="8">
        <f t="shared" si="2"/>
        <v>1</v>
      </c>
      <c r="AT11" s="54">
        <f t="shared" si="0"/>
        <v>3</v>
      </c>
      <c r="AU11" s="56">
        <f t="shared" si="1"/>
        <v>45</v>
      </c>
    </row>
    <row r="12" spans="3:47" ht="21" customHeight="1" x14ac:dyDescent="0.35">
      <c r="C12" s="33" t="s">
        <v>37</v>
      </c>
      <c r="D12" s="33" t="s">
        <v>13</v>
      </c>
      <c r="E12" s="27">
        <v>1</v>
      </c>
      <c r="F12" s="30">
        <v>45976</v>
      </c>
      <c r="G12" s="30">
        <v>45990</v>
      </c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3"/>
      <c r="AS12" s="8">
        <f>INT((G12-F12)/7)</f>
        <v>2</v>
      </c>
      <c r="AT12" s="54">
        <f t="shared" si="0"/>
        <v>6</v>
      </c>
      <c r="AU12" s="56">
        <f t="shared" si="1"/>
        <v>90</v>
      </c>
    </row>
    <row r="13" spans="3:47" ht="25.25" customHeight="1" x14ac:dyDescent="0.35">
      <c r="C13" s="35" t="s">
        <v>39</v>
      </c>
      <c r="D13" s="35"/>
      <c r="E13" s="31"/>
      <c r="F13" s="32"/>
      <c r="G13" s="32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3"/>
      <c r="AS13" s="8">
        <f t="shared" si="2"/>
        <v>0</v>
      </c>
      <c r="AT13" s="54">
        <f t="shared" si="0"/>
        <v>0</v>
      </c>
      <c r="AU13" s="56">
        <f t="shared" si="1"/>
        <v>0</v>
      </c>
    </row>
    <row r="14" spans="3:47" ht="21" customHeight="1" x14ac:dyDescent="0.35">
      <c r="C14" s="33" t="s">
        <v>38</v>
      </c>
      <c r="D14" s="33" t="s">
        <v>16</v>
      </c>
      <c r="E14" s="27">
        <v>1</v>
      </c>
      <c r="F14" s="30">
        <v>45969</v>
      </c>
      <c r="G14" s="30">
        <v>45976</v>
      </c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3"/>
      <c r="AS14" s="8">
        <f t="shared" si="2"/>
        <v>1</v>
      </c>
      <c r="AT14" s="54">
        <f t="shared" si="0"/>
        <v>3</v>
      </c>
      <c r="AU14" s="56">
        <f t="shared" si="1"/>
        <v>45</v>
      </c>
    </row>
    <row r="15" spans="3:47" ht="21" customHeight="1" x14ac:dyDescent="0.35">
      <c r="C15" s="33" t="s">
        <v>40</v>
      </c>
      <c r="D15" s="33" t="s">
        <v>15</v>
      </c>
      <c r="E15" s="27">
        <v>1</v>
      </c>
      <c r="F15" s="30">
        <v>45969</v>
      </c>
      <c r="G15" s="30">
        <v>45990</v>
      </c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3"/>
      <c r="AS15" s="8">
        <f t="shared" si="2"/>
        <v>3</v>
      </c>
      <c r="AT15" s="54">
        <f t="shared" si="0"/>
        <v>9</v>
      </c>
      <c r="AU15" s="56">
        <f t="shared" si="1"/>
        <v>135</v>
      </c>
    </row>
    <row r="16" spans="3:47" ht="21" customHeight="1" x14ac:dyDescent="0.35">
      <c r="C16" s="33" t="s">
        <v>41</v>
      </c>
      <c r="D16" s="33" t="s">
        <v>15</v>
      </c>
      <c r="E16" s="27">
        <v>1</v>
      </c>
      <c r="F16" s="30">
        <v>45990</v>
      </c>
      <c r="G16" s="30">
        <v>46039</v>
      </c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3"/>
      <c r="AS16" s="8">
        <f t="shared" si="2"/>
        <v>7</v>
      </c>
      <c r="AT16" s="54">
        <f t="shared" si="0"/>
        <v>21</v>
      </c>
      <c r="AU16" s="56">
        <f t="shared" si="1"/>
        <v>315</v>
      </c>
    </row>
    <row r="17" spans="3:47" ht="21" customHeight="1" x14ac:dyDescent="0.35">
      <c r="C17" s="33" t="s">
        <v>42</v>
      </c>
      <c r="D17" s="33" t="s">
        <v>15</v>
      </c>
      <c r="E17" s="27">
        <v>0.8</v>
      </c>
      <c r="F17" s="30">
        <v>45997</v>
      </c>
      <c r="G17" s="30">
        <v>46074</v>
      </c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3"/>
      <c r="AS17" s="8">
        <f t="shared" si="2"/>
        <v>11</v>
      </c>
      <c r="AT17" s="54">
        <f t="shared" si="0"/>
        <v>33</v>
      </c>
      <c r="AU17" s="56">
        <f t="shared" si="1"/>
        <v>495</v>
      </c>
    </row>
    <row r="18" spans="3:47" ht="25.25" customHeight="1" x14ac:dyDescent="0.35">
      <c r="C18" s="35" t="s">
        <v>43</v>
      </c>
      <c r="D18" s="35"/>
      <c r="E18" s="31"/>
      <c r="F18" s="32"/>
      <c r="G18" s="32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3"/>
      <c r="AS18" s="8">
        <f t="shared" si="2"/>
        <v>0</v>
      </c>
      <c r="AT18" s="54">
        <f t="shared" si="0"/>
        <v>0</v>
      </c>
      <c r="AU18" s="56">
        <f t="shared" si="1"/>
        <v>0</v>
      </c>
    </row>
    <row r="19" spans="3:47" ht="21" customHeight="1" x14ac:dyDescent="0.35">
      <c r="C19" s="33" t="s">
        <v>44</v>
      </c>
      <c r="D19" s="33" t="s">
        <v>17</v>
      </c>
      <c r="E19" s="27">
        <v>0.02</v>
      </c>
      <c r="F19" s="30">
        <v>46067</v>
      </c>
      <c r="G19" s="30">
        <v>46081</v>
      </c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3"/>
      <c r="AS19" s="8">
        <f t="shared" si="2"/>
        <v>2</v>
      </c>
      <c r="AT19" s="54">
        <f t="shared" si="0"/>
        <v>6</v>
      </c>
      <c r="AU19" s="56">
        <f t="shared" si="1"/>
        <v>90</v>
      </c>
    </row>
    <row r="20" spans="3:47" ht="21" customHeight="1" x14ac:dyDescent="0.35">
      <c r="C20" s="33" t="s">
        <v>45</v>
      </c>
      <c r="D20" s="33" t="s">
        <v>17</v>
      </c>
      <c r="E20" s="27">
        <v>0</v>
      </c>
      <c r="F20" s="30">
        <v>46081</v>
      </c>
      <c r="G20" s="30">
        <v>46109</v>
      </c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3"/>
      <c r="AS20" s="8">
        <f t="shared" si="2"/>
        <v>4</v>
      </c>
      <c r="AT20" s="54">
        <f t="shared" si="0"/>
        <v>12</v>
      </c>
      <c r="AU20" s="56">
        <f t="shared" si="1"/>
        <v>180</v>
      </c>
    </row>
    <row r="21" spans="3:47" ht="25.25" customHeight="1" x14ac:dyDescent="0.35">
      <c r="C21" s="35" t="s">
        <v>46</v>
      </c>
      <c r="D21" s="35"/>
      <c r="E21" s="31"/>
      <c r="F21" s="26"/>
      <c r="G21" s="26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3"/>
      <c r="AS21" s="8">
        <f t="shared" si="2"/>
        <v>0</v>
      </c>
      <c r="AT21" s="54">
        <f t="shared" si="0"/>
        <v>0</v>
      </c>
      <c r="AU21" s="56">
        <f t="shared" si="1"/>
        <v>0</v>
      </c>
    </row>
    <row r="22" spans="3:47" ht="21" customHeight="1" x14ac:dyDescent="0.35">
      <c r="C22" s="33" t="s">
        <v>47</v>
      </c>
      <c r="D22" s="33" t="s">
        <v>13</v>
      </c>
      <c r="E22" s="27">
        <v>0.9</v>
      </c>
      <c r="F22" s="30">
        <v>45976</v>
      </c>
      <c r="G22" s="30">
        <v>46074</v>
      </c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3"/>
      <c r="AS22" s="8">
        <f t="shared" si="2"/>
        <v>14</v>
      </c>
      <c r="AT22" s="54">
        <f t="shared" si="0"/>
        <v>42</v>
      </c>
      <c r="AU22" s="56">
        <f t="shared" si="1"/>
        <v>630</v>
      </c>
    </row>
    <row r="23" spans="3:47" ht="21" customHeight="1" x14ac:dyDescent="0.35">
      <c r="C23" s="33" t="s">
        <v>48</v>
      </c>
      <c r="D23" s="33" t="s">
        <v>15</v>
      </c>
      <c r="E23" s="27">
        <v>0</v>
      </c>
      <c r="F23" s="30">
        <v>46109</v>
      </c>
      <c r="G23" s="30">
        <v>46137</v>
      </c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3"/>
      <c r="AS23" s="8">
        <f t="shared" si="2"/>
        <v>4</v>
      </c>
      <c r="AT23" s="54">
        <f t="shared" si="0"/>
        <v>12</v>
      </c>
      <c r="AU23" s="56">
        <f t="shared" si="1"/>
        <v>180</v>
      </c>
    </row>
    <row r="24" spans="3:47" ht="21" customHeight="1" x14ac:dyDescent="0.35">
      <c r="C24" s="33" t="s">
        <v>49</v>
      </c>
      <c r="D24" s="33"/>
      <c r="E24" s="27">
        <v>0</v>
      </c>
      <c r="F24" s="30">
        <v>46085</v>
      </c>
      <c r="G24" s="30">
        <v>46172</v>
      </c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3"/>
      <c r="AS24" s="8">
        <f t="shared" si="2"/>
        <v>12</v>
      </c>
      <c r="AT24" s="54">
        <f t="shared" si="0"/>
        <v>36</v>
      </c>
      <c r="AU24" s="56">
        <f t="shared" si="1"/>
        <v>540</v>
      </c>
    </row>
    <row r="25" spans="3:47" ht="21" customHeight="1" x14ac:dyDescent="0.35">
      <c r="C25" s="35" t="s">
        <v>18</v>
      </c>
      <c r="D25" s="35"/>
      <c r="E25" s="31"/>
      <c r="F25" s="26"/>
      <c r="G25" s="26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3"/>
      <c r="AS25" s="8">
        <f>INT((G25-F25)/7)</f>
        <v>0</v>
      </c>
      <c r="AT25" s="54">
        <f t="shared" si="0"/>
        <v>0</v>
      </c>
      <c r="AU25" s="56">
        <f t="shared" si="1"/>
        <v>0</v>
      </c>
    </row>
    <row r="26" spans="3:47" ht="21" customHeight="1" x14ac:dyDescent="0.35">
      <c r="C26" s="33" t="s">
        <v>50</v>
      </c>
      <c r="D26" s="33" t="s">
        <v>19</v>
      </c>
      <c r="E26" s="27">
        <v>0.45</v>
      </c>
      <c r="F26" s="30">
        <v>45969</v>
      </c>
      <c r="G26" s="30">
        <v>46172</v>
      </c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3"/>
      <c r="AS26" s="8">
        <f>INT((G26-F26)/7)</f>
        <v>29</v>
      </c>
      <c r="AT26" s="54">
        <f t="shared" si="0"/>
        <v>87</v>
      </c>
      <c r="AU26" s="56">
        <f t="shared" si="1"/>
        <v>1305</v>
      </c>
    </row>
    <row r="27" spans="3:47" ht="21" customHeight="1" x14ac:dyDescent="0.35">
      <c r="C27" s="33" t="s">
        <v>51</v>
      </c>
      <c r="D27" s="33" t="s">
        <v>19</v>
      </c>
      <c r="E27" s="27">
        <v>0</v>
      </c>
      <c r="F27" s="30">
        <v>46137</v>
      </c>
      <c r="G27" s="30">
        <v>46165</v>
      </c>
      <c r="H27" s="24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3"/>
      <c r="AS27" s="8">
        <f>INT((G27-F27)/7)</f>
        <v>4</v>
      </c>
      <c r="AT27" s="54">
        <f t="shared" si="0"/>
        <v>12</v>
      </c>
      <c r="AU27" s="56">
        <f t="shared" si="1"/>
        <v>180</v>
      </c>
    </row>
    <row r="28" spans="3:47" ht="21" customHeight="1" x14ac:dyDescent="0.35">
      <c r="C28" s="33" t="s">
        <v>52</v>
      </c>
      <c r="D28" s="33" t="s">
        <v>19</v>
      </c>
      <c r="E28" s="27">
        <v>0.25</v>
      </c>
      <c r="F28" s="30">
        <v>45962</v>
      </c>
      <c r="G28" s="30">
        <v>46172</v>
      </c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3"/>
      <c r="AS28" s="8">
        <f>INT((G28-F28)/7)</f>
        <v>30</v>
      </c>
      <c r="AT28" s="54">
        <f t="shared" si="0"/>
        <v>90</v>
      </c>
      <c r="AU28" s="56">
        <f t="shared" si="1"/>
        <v>1350</v>
      </c>
    </row>
    <row r="29" spans="3:47" x14ac:dyDescent="0.35">
      <c r="AS29" s="8"/>
      <c r="AT29" s="54"/>
      <c r="AU29" s="56"/>
    </row>
    <row r="30" spans="3:47" x14ac:dyDescent="0.35">
      <c r="AS30" s="8"/>
      <c r="AT30" s="54"/>
      <c r="AU30" s="56"/>
    </row>
    <row r="31" spans="3:47" x14ac:dyDescent="0.35">
      <c r="C31" s="39"/>
      <c r="D31" s="40"/>
      <c r="E31" s="40"/>
      <c r="F31" s="41"/>
      <c r="AS31" s="8"/>
      <c r="AT31" s="54"/>
      <c r="AU31" s="56"/>
    </row>
    <row r="32" spans="3:47" ht="19.5" x14ac:dyDescent="0.45">
      <c r="C32" s="46" t="s">
        <v>31</v>
      </c>
      <c r="D32" s="60" t="s">
        <v>20</v>
      </c>
      <c r="E32" s="60"/>
      <c r="F32" s="61"/>
      <c r="AS32" s="52">
        <f>SUM(AS8:AS24)</f>
        <v>67</v>
      </c>
      <c r="AT32" s="55">
        <f>SUM(AT8:AT24)</f>
        <v>201</v>
      </c>
      <c r="AU32" s="57">
        <f>SUM(AU8:AU24)</f>
        <v>3015</v>
      </c>
    </row>
    <row r="33" spans="3:12" x14ac:dyDescent="0.35">
      <c r="C33" s="43"/>
      <c r="D33" s="60" t="s">
        <v>21</v>
      </c>
      <c r="E33" s="60"/>
      <c r="F33" s="61"/>
    </row>
    <row r="34" spans="3:12" x14ac:dyDescent="0.35">
      <c r="C34" s="43"/>
      <c r="D34" s="60" t="s">
        <v>22</v>
      </c>
      <c r="E34" s="60"/>
      <c r="F34" s="61"/>
      <c r="J34" s="2"/>
      <c r="K34" s="2"/>
      <c r="L34" s="2"/>
    </row>
    <row r="35" spans="3:12" x14ac:dyDescent="0.35">
      <c r="C35" s="43"/>
      <c r="D35" s="60" t="s">
        <v>23</v>
      </c>
      <c r="E35" s="60"/>
      <c r="F35" s="61"/>
      <c r="J35" s="2"/>
      <c r="K35" s="2"/>
      <c r="L35" s="2"/>
    </row>
    <row r="36" spans="3:12" x14ac:dyDescent="0.35">
      <c r="C36" s="43"/>
      <c r="D36" s="1"/>
      <c r="E36" s="1"/>
      <c r="F36" s="42"/>
      <c r="J36" s="2"/>
      <c r="K36" s="2"/>
      <c r="L36" s="2"/>
    </row>
    <row r="37" spans="3:12" x14ac:dyDescent="0.35">
      <c r="C37" s="43"/>
      <c r="D37" s="1"/>
      <c r="E37" s="1"/>
      <c r="F37" s="42"/>
      <c r="J37" s="2"/>
      <c r="K37" s="2"/>
      <c r="L37" s="2"/>
    </row>
    <row r="38" spans="3:12" x14ac:dyDescent="0.35">
      <c r="C38" s="51" t="s">
        <v>24</v>
      </c>
      <c r="D38" s="47">
        <v>3</v>
      </c>
      <c r="E38" s="38" t="s">
        <v>25</v>
      </c>
      <c r="F38" s="42"/>
      <c r="J38" s="2"/>
      <c r="K38" s="2"/>
      <c r="L38" s="2"/>
    </row>
    <row r="39" spans="3:12" x14ac:dyDescent="0.35">
      <c r="C39" s="51" t="s">
        <v>26</v>
      </c>
      <c r="D39" s="47">
        <v>15</v>
      </c>
      <c r="E39" s="38" t="s">
        <v>27</v>
      </c>
      <c r="F39" s="42"/>
      <c r="J39" s="2"/>
      <c r="K39" s="2"/>
      <c r="L39" s="2"/>
    </row>
    <row r="40" spans="3:12" x14ac:dyDescent="0.35">
      <c r="C40" s="51" t="s">
        <v>28</v>
      </c>
      <c r="D40">
        <v>25</v>
      </c>
      <c r="E40" s="38" t="s">
        <v>27</v>
      </c>
      <c r="F40" s="48"/>
    </row>
    <row r="41" spans="3:12" x14ac:dyDescent="0.35">
      <c r="C41" s="44"/>
      <c r="D41" s="21"/>
      <c r="E41" s="21"/>
      <c r="F41" s="45"/>
    </row>
  </sheetData>
  <mergeCells count="14">
    <mergeCell ref="D33:F33"/>
    <mergeCell ref="D34:F34"/>
    <mergeCell ref="D35:F35"/>
    <mergeCell ref="C3:D3"/>
    <mergeCell ref="V3:Y3"/>
    <mergeCell ref="Z3:AC3"/>
    <mergeCell ref="C2:D2"/>
    <mergeCell ref="D32:F32"/>
    <mergeCell ref="AI3:AL3"/>
    <mergeCell ref="AM3:AP3"/>
    <mergeCell ref="I3:L3"/>
    <mergeCell ref="M3:P3"/>
    <mergeCell ref="Q3:T3"/>
    <mergeCell ref="AD3:AG3"/>
  </mergeCells>
  <phoneticPr fontId="2" type="noConversion"/>
  <conditionalFormatting sqref="E8:E28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12:AQ28 I5:AQ7 AQ8:AQ11">
    <cfRule type="expression" dxfId="2" priority="13">
      <formula>AND(H$5&lt;=TODAY(), (I$5-7)&lt;=TODAY(),I$5&gt;=TODAY())</formula>
    </cfRule>
  </conditionalFormatting>
  <conditionalFormatting sqref="H8:AP8 I9:AP12 I14:V28 Y14:AD28 AG14:AL28 AO14:AP28 W16:X28 AM16:AN28 AE17:AF28">
    <cfRule type="expression" dxfId="1" priority="10">
      <formula>AND(H$5&gt;=$F8,H$5&lt;=$G8)</formula>
    </cfRule>
  </conditionalFormatting>
  <conditionalFormatting sqref="I8:P12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ef1eb3-aa3a-41d9-a687-33c02a66b6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B21FEEF28D25478970655B8FB038CE" ma:contentTypeVersion="15" ma:contentTypeDescription="Creare un nuovo documento." ma:contentTypeScope="" ma:versionID="902da41986bab8a11f80b3f30157db2f">
  <xsd:schema xmlns:xsd="http://www.w3.org/2001/XMLSchema" xmlns:xs="http://www.w3.org/2001/XMLSchema" xmlns:p="http://schemas.microsoft.com/office/2006/metadata/properties" xmlns:ns3="86ef1eb3-aa3a-41d9-a687-33c02a66b6e6" xmlns:ns4="21196a8f-ca16-4a74-9c8b-eedfa456e3d4" targetNamespace="http://schemas.microsoft.com/office/2006/metadata/properties" ma:root="true" ma:fieldsID="b98c4e8fb50649dd042a3053bc038173" ns3:_="" ns4:_="">
    <xsd:import namespace="86ef1eb3-aa3a-41d9-a687-33c02a66b6e6"/>
    <xsd:import namespace="21196a8f-ca16-4a74-9c8b-eedfa456e3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f1eb3-aa3a-41d9-a687-33c02a66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96a8f-ca16-4a74-9c8b-eedfa456e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D20626-14A6-4435-970B-5FFE0A067F50}">
  <ds:schemaRefs>
    <ds:schemaRef ds:uri="http://schemas.microsoft.com/office/2006/metadata/properties"/>
    <ds:schemaRef ds:uri="http://schemas.microsoft.com/office/infopath/2007/PartnerControls"/>
    <ds:schemaRef ds:uri="86ef1eb3-aa3a-41d9-a687-33c02a66b6e6"/>
  </ds:schemaRefs>
</ds:datastoreItem>
</file>

<file path=customXml/itemProps2.xml><?xml version="1.0" encoding="utf-8"?>
<ds:datastoreItem xmlns:ds="http://schemas.openxmlformats.org/officeDocument/2006/customXml" ds:itemID="{1782BAEA-5410-40EE-BD4C-7C24CB759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ef1eb3-aa3a-41d9-a687-33c02a66b6e6"/>
    <ds:schemaRef ds:uri="21196a8f-ca16-4a74-9c8b-eedfa456e3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50BD29-387B-4299-94F6-FB37861A0D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Canali</dc:creator>
  <cp:keywords/>
  <dc:description/>
  <cp:lastModifiedBy>Cortinovis Luca</cp:lastModifiedBy>
  <cp:revision/>
  <dcterms:created xsi:type="dcterms:W3CDTF">2025-10-22T05:40:21Z</dcterms:created>
  <dcterms:modified xsi:type="dcterms:W3CDTF">2026-02-07T07:33:51Z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0x0101000CB21FEEF28D25478970655B8FB038CE</vt:lpwstr>
  </property>
</Properties>
</file>